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<sst xmlns="http://schemas.openxmlformats.org/spreadsheetml/2006/main" count="291" uniqueCount="150">
  <si>
    <t xml:space="preserve">Project ID</t>
  </si>
  <si>
    <t xml:space="preserve">Project Name</t>
  </si>
  <si>
    <t xml:space="preserve">Department</t>
  </si>
  <si>
    <t xml:space="preserve">Project Manager</t>
  </si>
  <si>
    <t xml:space="preserve">Start Date</t>
  </si>
  <si>
    <t xml:space="preserve">End Date</t>
  </si>
  <si>
    <t xml:space="preserve">Budget (RM)</t>
  </si>
  <si>
    <t xml:space="preserve">Actual Cost (RM)</t>
  </si>
  <si>
    <t xml:space="preserve">Completion %</t>
  </si>
  <si>
    <t xml:space="preserve">Status</t>
  </si>
  <si>
    <t xml:space="preserve">Number of Issues</t>
  </si>
  <si>
    <t xml:space="preserve">Number of Risks</t>
  </si>
  <si>
    <t xml:space="preserve">PRJ-001</t>
  </si>
  <si>
    <t xml:space="preserve">ERP System Migration</t>
  </si>
  <si>
    <t xml:space="preserve">Infrastructure</t>
  </si>
  <si>
    <t xml:space="preserve">Priya Nair</t>
  </si>
  <si>
    <t xml:space="preserve">On Track</t>
  </si>
  <si>
    <t xml:space="preserve">PRJ-002</t>
  </si>
  <si>
    <t xml:space="preserve">Mobile App Redesign</t>
  </si>
  <si>
    <t xml:space="preserve">Security</t>
  </si>
  <si>
    <t xml:space="preserve">Aisha Rahman</t>
  </si>
  <si>
    <t xml:space="preserve">PRJ-003</t>
  </si>
  <si>
    <t xml:space="preserve">Cloud Infrastructure Upgrade</t>
  </si>
  <si>
    <t xml:space="preserve">IT Operations</t>
  </si>
  <si>
    <t xml:space="preserve">Michael Lim</t>
  </si>
  <si>
    <t xml:space="preserve">Delayed</t>
  </si>
  <si>
    <t xml:space="preserve">PRJ-004</t>
  </si>
  <si>
    <t xml:space="preserve">Cybersecurity Overhaul</t>
  </si>
  <si>
    <t xml:space="preserve">Data &amp; Analytics</t>
  </si>
  <si>
    <t xml:space="preserve">Nurul Hana</t>
  </si>
  <si>
    <t xml:space="preserve">PRJ-005</t>
  </si>
  <si>
    <t xml:space="preserve">Data Warehouse Implementation</t>
  </si>
  <si>
    <t xml:space="preserve">David Okonkwo</t>
  </si>
  <si>
    <t xml:space="preserve">PRJ-006</t>
  </si>
  <si>
    <t xml:space="preserve">DevOps Pipeline Setup</t>
  </si>
  <si>
    <t xml:space="preserve">DevOps</t>
  </si>
  <si>
    <t xml:space="preserve">PRJ-007</t>
  </si>
  <si>
    <t xml:space="preserve">Customer Portal Development</t>
  </si>
  <si>
    <t xml:space="preserve">Omar Khalid</t>
  </si>
  <si>
    <t xml:space="preserve">At Risk</t>
  </si>
  <si>
    <t xml:space="preserve">PRJ-008</t>
  </si>
  <si>
    <t xml:space="preserve">AI Chatbot Integration</t>
  </si>
  <si>
    <t xml:space="preserve">Rina Matsuda</t>
  </si>
  <si>
    <t xml:space="preserve">PRJ-009</t>
  </si>
  <si>
    <t xml:space="preserve">API Gateway Modernization</t>
  </si>
  <si>
    <t xml:space="preserve">PRJ-010</t>
  </si>
  <si>
    <t xml:space="preserve">Legacy Code Refactoring</t>
  </si>
  <si>
    <t xml:space="preserve">PRJ-011</t>
  </si>
  <si>
    <t xml:space="preserve">Microservices Architecture</t>
  </si>
  <si>
    <t xml:space="preserve">PRJ-012</t>
  </si>
  <si>
    <t xml:space="preserve">BI Dashboard Rollout</t>
  </si>
  <si>
    <t xml:space="preserve">Product</t>
  </si>
  <si>
    <t xml:space="preserve">PRJ-013</t>
  </si>
  <si>
    <t xml:space="preserve">Identity Access Management</t>
  </si>
  <si>
    <t xml:space="preserve">PRJ-014</t>
  </si>
  <si>
    <t xml:space="preserve">Network Segmentation Project</t>
  </si>
  <si>
    <t xml:space="preserve">PRJ-015</t>
  </si>
  <si>
    <t xml:space="preserve">SaaS Platform Launch</t>
  </si>
  <si>
    <t xml:space="preserve">Engineering</t>
  </si>
  <si>
    <t xml:space="preserve">PRJ-016</t>
  </si>
  <si>
    <t xml:space="preserve">Kubernetes Migration</t>
  </si>
  <si>
    <t xml:space="preserve">Kevin Park</t>
  </si>
  <si>
    <t xml:space="preserve">PRJ-017</t>
  </si>
  <si>
    <t xml:space="preserve">Disaster Recovery Setup</t>
  </si>
  <si>
    <t xml:space="preserve">PRJ-018</t>
  </si>
  <si>
    <t xml:space="preserve">CRM System Upgrade</t>
  </si>
  <si>
    <t xml:space="preserve">PRJ-019</t>
  </si>
  <si>
    <t xml:space="preserve">Automated Testing Framework</t>
  </si>
  <si>
    <t xml:space="preserve">PRJ-020</t>
  </si>
  <si>
    <t xml:space="preserve">Digital Transformation Phase 1</t>
  </si>
  <si>
    <t xml:space="preserve">James Tan</t>
  </si>
  <si>
    <t xml:space="preserve">PRJ-021</t>
  </si>
  <si>
    <t xml:space="preserve">IoT Platform Development</t>
  </si>
  <si>
    <t xml:space="preserve">PRJ-022</t>
  </si>
  <si>
    <t xml:space="preserve">Blockchain Proof of Concept</t>
  </si>
  <si>
    <t xml:space="preserve">PRJ-023</t>
  </si>
  <si>
    <t xml:space="preserve">E-Commerce Replatform</t>
  </si>
  <si>
    <t xml:space="preserve">PRJ-024</t>
  </si>
  <si>
    <t xml:space="preserve">Data Privacy Compliance (PDPA)</t>
  </si>
  <si>
    <t xml:space="preserve">PRJ-025</t>
  </si>
  <si>
    <t xml:space="preserve">Real-Time Analytics Engine</t>
  </si>
  <si>
    <t xml:space="preserve">PRJ-026</t>
  </si>
  <si>
    <t xml:space="preserve">VPN Infrastructure Renewal</t>
  </si>
  <si>
    <t xml:space="preserve">Digital Transformation</t>
  </si>
  <si>
    <t xml:space="preserve">PRJ-027</t>
  </si>
  <si>
    <t xml:space="preserve">HR Payroll System Update</t>
  </si>
  <si>
    <t xml:space="preserve">PRJ-028</t>
  </si>
  <si>
    <t xml:space="preserve">Multi-Cloud Strategy</t>
  </si>
  <si>
    <t xml:space="preserve">PRJ-029</t>
  </si>
  <si>
    <t xml:space="preserve">Zero Trust Architecture</t>
  </si>
  <si>
    <t xml:space="preserve">PRJ-030</t>
  </si>
  <si>
    <t xml:space="preserve">Product Analytics Tooling</t>
  </si>
  <si>
    <t xml:space="preserve">PRJ-031</t>
  </si>
  <si>
    <t xml:space="preserve">Incident Management System</t>
  </si>
  <si>
    <t xml:space="preserve">Sarah Chen</t>
  </si>
  <si>
    <t xml:space="preserve">PRJ-032</t>
  </si>
  <si>
    <t xml:space="preserve">Employee Self-Service Portal</t>
  </si>
  <si>
    <t xml:space="preserve">PRJ-033</t>
  </si>
  <si>
    <t xml:space="preserve">AI Model Governance Platform</t>
  </si>
  <si>
    <t xml:space="preserve">PRJ-034</t>
  </si>
  <si>
    <t xml:space="preserve">Vendor Integration Hub</t>
  </si>
  <si>
    <t xml:space="preserve">PRJ-035</t>
  </si>
  <si>
    <t xml:space="preserve">Low-Code Platform Adoption</t>
  </si>
  <si>
    <t xml:space="preserve">PRJ-036</t>
  </si>
  <si>
    <t xml:space="preserve">Infrastructure as Code Migration</t>
  </si>
  <si>
    <t xml:space="preserve">PRJ-037</t>
  </si>
  <si>
    <t xml:space="preserve">SIEM Implementation</t>
  </si>
  <si>
    <t xml:space="preserve">PRJ-038</t>
  </si>
  <si>
    <t xml:space="preserve">Digital Onboarding Flow</t>
  </si>
  <si>
    <t xml:space="preserve">PRJ-039</t>
  </si>
  <si>
    <t xml:space="preserve">MLOps Pipeline Build</t>
  </si>
  <si>
    <t xml:space="preserve">PRJ-040</t>
  </si>
  <si>
    <t xml:space="preserve">Contract Management System</t>
  </si>
  <si>
    <t xml:space="preserve">PRJ-041</t>
  </si>
  <si>
    <t xml:space="preserve">Edge Computing Rollout</t>
  </si>
  <si>
    <t xml:space="preserve">PRJ-042</t>
  </si>
  <si>
    <t xml:space="preserve">Helpdesk Automation</t>
  </si>
  <si>
    <t xml:space="preserve">PRJ-043</t>
  </si>
  <si>
    <t xml:space="preserve">Unified Communications Platform</t>
  </si>
  <si>
    <t xml:space="preserve">PRJ-044</t>
  </si>
  <si>
    <t xml:space="preserve">Observability Stack Setup</t>
  </si>
  <si>
    <t xml:space="preserve">PRJ-045</t>
  </si>
  <si>
    <t xml:space="preserve">Internal Knowledge Base</t>
  </si>
  <si>
    <t xml:space="preserve">PRJ-046</t>
  </si>
  <si>
    <t xml:space="preserve">Supply Chain Visibility Tool</t>
  </si>
  <si>
    <t xml:space="preserve">PRJ-047</t>
  </si>
  <si>
    <t xml:space="preserve">Fintech API Layer</t>
  </si>
  <si>
    <t xml:space="preserve">PRJ-048</t>
  </si>
  <si>
    <t xml:space="preserve">Security Awareness Training Platform</t>
  </si>
  <si>
    <t xml:space="preserve">PRJ-049</t>
  </si>
  <si>
    <t xml:space="preserve">Agile Transformation Initiative</t>
  </si>
  <si>
    <t xml:space="preserve">PRJ-050</t>
  </si>
  <si>
    <t xml:space="preserve">Tech Debt Reduction Sprint</t>
  </si>
  <si>
    <t xml:space="preserve">Project Portfolio Performance Dashboard</t>
  </si>
  <si>
    <t xml:space="preserve">Tracks project health, budget, and risks across multiple projects.</t>
  </si>
  <si>
    <t xml:space="preserve">📁 Total Projects</t>
  </si>
  <si>
    <t xml:space="preserve">✅ On Track</t>
  </si>
  <si>
    <t xml:space="preserve">⏰ Delayed</t>
  </si>
  <si>
    <t xml:space="preserve">⚠️ At Risk</t>
  </si>
  <si>
    <t xml:space="preserve">💰 Total Budget (RM)</t>
  </si>
  <si>
    <t xml:space="preserve">📉 Total Actual (RM)</t>
  </si>
  <si>
    <t xml:space="preserve">📊 Avg Completion</t>
  </si>
  <si>
    <t xml:space="preserve">🔴 Total Issues</t>
  </si>
  <si>
    <t xml:space="preserve">🎯 Total Risks</t>
  </si>
  <si>
    <t xml:space="preserve">Breakdown by Department</t>
  </si>
  <si>
    <t xml:space="preserve">Total Projects</t>
  </si>
  <si>
    <t xml:space="preserve">Avg Completion %</t>
  </si>
  <si>
    <t xml:space="preserve">Total Issues</t>
  </si>
  <si>
    <t xml:space="preserve">Total Risks</t>
  </si>
  <si>
    <t xml:space="preserve">ℹ️  Load the 'dataset' sheet into Power BI. Use DAX measures from README.md to replicate KPI cards above.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</si>
</sst>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"/>
    <numFmt numFmtId="167" formatCode="0\%"/>
    <numFmt numFmtId="168" formatCode="General"/>
    <numFmt numFmtId="169" formatCode="0.0\%"/>
    <numFmt numFmtId="170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6B2E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7D5800"/>
      <name val="Arial"/>
      <family val="0"/>
      <charset val="1"/>
    </font>
    <font>
      <b val="true"/>
      <sz val="16"/>
      <color rgb="FF1A3A5C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AAAAAA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2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2E4057"/>
      </patternFill>
    </fill>
    <fill>
      <patternFill patternType="solid">
        <fgColor rgb="FFEEF2F7"/>
        <bgColor rgb="FFFFFFFF"/>
      </patternFill>
    </fill>
    <fill>
      <patternFill patternType="solid">
        <fgColor rgb="FFD6F0DE"/>
        <bgColor rgb="FFDDDDDD"/>
      </patternFill>
    </fill>
    <fill>
      <patternFill patternType="solid">
        <fgColor rgb="FFFFD6D6"/>
        <bgColor rgb="FFDDDDDD"/>
      </patternFill>
    </fill>
    <fill>
      <patternFill patternType="solid">
        <fgColor rgb="FFFFF0C2"/>
        <bgColor rgb="FFFFFF99"/>
      </patternFill>
    </fill>
    <fill>
      <patternFill patternType="solid">
        <fgColor rgb="FF1E6B2E"/>
        <bgColor rgb="FF3A6186"/>
      </patternFill>
    </fill>
    <fill>
      <patternFill patternType="solid">
        <fgColor rgb="FF9C0006"/>
        <bgColor rgb="FF6B1A1A"/>
      </patternFill>
    </fill>
    <fill>
      <patternFill patternType="solid">
        <fgColor rgb="FF7D5800"/>
        <bgColor rgb="FF555555"/>
      </patternFill>
    </fill>
    <fill>
      <patternFill patternType="solid">
        <fgColor rgb="FF2E4057"/>
        <bgColor rgb="FF1A3A5C"/>
      </patternFill>
    </fill>
    <fill>
      <patternFill patternType="solid">
        <fgColor rgb="FF3A6186"/>
        <bgColor rgb="FF555555"/>
      </patternFill>
    </fill>
    <fill>
      <patternFill patternType="solid">
        <fgColor rgb="FFC65102"/>
        <bgColor rgb="FFFF6600"/>
      </patternFill>
    </fill>
    <fill>
      <patternFill patternType="solid">
        <fgColor rgb="FF6B1A1A"/>
        <bgColor rgb="FF660066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1A3A5C"/>
      </left>
      <right style="medium">
        <color rgb="FF1A3A5C"/>
      </right>
      <top style="medium">
        <color rgb="FF1A3A5C"/>
      </top>
      <bottom style="thin">
        <color rgb="FFDDDDDD"/>
      </bottom>
      <diagonal/>
    </border>
    <border diagonalUp="false" diagonalDown="false">
      <left style="medium">
        <color rgb="FF1E6B2E"/>
      </left>
      <right style="medium">
        <color rgb="FF1E6B2E"/>
      </right>
      <top style="medium">
        <color rgb="FF1E6B2E"/>
      </top>
      <bottom style="thin">
        <color rgb="FFDDDDDD"/>
      </bottom>
      <diagonal/>
    </border>
    <border diagonalUp="false" diagonalDown="false">
      <left style="medium">
        <color rgb="FF9C0006"/>
      </left>
      <right style="medium">
        <color rgb="FF9C0006"/>
      </right>
      <top style="medium">
        <color rgb="FF9C0006"/>
      </top>
      <bottom style="thin">
        <color rgb="FFDDDDDD"/>
      </bottom>
      <diagonal/>
    </border>
    <border diagonalUp="false" diagonalDown="false">
      <left style="medium">
        <color rgb="FF1A3A5C"/>
      </left>
      <right style="medium">
        <color rgb="FF1A3A5C"/>
      </right>
      <top style="thin">
        <color rgb="FFDDDDDD"/>
      </top>
      <bottom style="medium">
        <color rgb="FF1A3A5C"/>
      </bottom>
      <diagonal/>
    </border>
    <border diagonalUp="false" diagonalDown="false">
      <left style="medium">
        <color rgb="FF1E6B2E"/>
      </left>
      <right style="medium">
        <color rgb="FF1E6B2E"/>
      </right>
      <top style="thin">
        <color rgb="FFDDDDDD"/>
      </top>
      <bottom style="medium">
        <color rgb="FF1E6B2E"/>
      </bottom>
      <diagonal/>
    </border>
    <border diagonalUp="false" diagonalDown="false">
      <left style="medium">
        <color rgb="FF9C0006"/>
      </left>
      <right style="medium">
        <color rgb="FF9C0006"/>
      </right>
      <top style="thin">
        <color rgb="FFDDDDDD"/>
      </top>
      <bottom style="medium">
        <color rgb="FF9C0006"/>
      </bottom>
      <diagonal/>
    </border>
    <border diagonalUp="false" diagonalDown="false">
      <left style="medium">
        <color rgb="FF7D5800"/>
      </left>
      <right style="medium">
        <color rgb="FF7D5800"/>
      </right>
      <top style="medium">
        <color rgb="FF7D5800"/>
      </top>
      <bottom style="thin">
        <color rgb="FFDDDDDD"/>
      </bottom>
      <diagonal/>
    </border>
    <border diagonalUp="false" diagonalDown="false">
      <left style="medium">
        <color rgb="FF2E4057"/>
      </left>
      <right style="medium">
        <color rgb="FF2E4057"/>
      </right>
      <top style="medium">
        <color rgb="FF2E4057"/>
      </top>
      <bottom style="thin">
        <color rgb="FFDDDDDD"/>
      </bottom>
      <diagonal/>
    </border>
    <border diagonalUp="false" diagonalDown="false">
      <left style="medium">
        <color rgb="FF7D5800"/>
      </left>
      <right style="medium">
        <color rgb="FF7D5800"/>
      </right>
      <top style="thin">
        <color rgb="FFDDDDDD"/>
      </top>
      <bottom style="medium">
        <color rgb="FF7D5800"/>
      </bottom>
      <diagonal/>
    </border>
    <border diagonalUp="false" diagonalDown="false">
      <left style="medium">
        <color rgb="FF2E4057"/>
      </left>
      <right style="medium">
        <color rgb="FF2E4057"/>
      </right>
      <top style="thin">
        <color rgb="FFDDDDDD"/>
      </top>
      <bottom style="medium">
        <color rgb="FF2E4057"/>
      </bottom>
      <diagonal/>
    </border>
    <border diagonalUp="false" diagonalDown="false">
      <left style="medium">
        <color rgb="FF3A6186"/>
      </left>
      <right style="medium">
        <color rgb="FF3A6186"/>
      </right>
      <top style="medium">
        <color rgb="FF3A6186"/>
      </top>
      <bottom style="thin">
        <color rgb="FFDDDDDD"/>
      </bottom>
      <diagonal/>
    </border>
    <border diagonalUp="false" diagonalDown="false">
      <left style="medium">
        <color rgb="FFC65102"/>
      </left>
      <right style="medium">
        <color rgb="FFC65102"/>
      </right>
      <top style="medium">
        <color rgb="FFC65102"/>
      </top>
      <bottom style="thin">
        <color rgb="FFDDDDDD"/>
      </bottom>
      <diagonal/>
    </border>
    <border diagonalUp="false" diagonalDown="false">
      <left style="medium">
        <color rgb="FF6B1A1A"/>
      </left>
      <right style="medium">
        <color rgb="FF6B1A1A"/>
      </right>
      <top style="medium">
        <color rgb="FF6B1A1A"/>
      </top>
      <bottom style="thin">
        <color rgb="FFDDDDDD"/>
      </bottom>
      <diagonal/>
    </border>
    <border diagonalUp="false" diagonalDown="false">
      <left style="medium">
        <color rgb="FF3A6186"/>
      </left>
      <right style="medium">
        <color rgb="FF3A6186"/>
      </right>
      <top style="thin">
        <color rgb="FFDDDDDD"/>
      </top>
      <bottom style="medium">
        <color rgb="FF3A6186"/>
      </bottom>
      <diagonal/>
    </border>
    <border diagonalUp="false" diagonalDown="false">
      <left style="medium">
        <color rgb="FFC65102"/>
      </left>
      <right style="medium">
        <color rgb="FFC65102"/>
      </right>
      <top style="thin">
        <color rgb="FFDDDDDD"/>
      </top>
      <bottom style="medium">
        <color rgb="FFC65102"/>
      </bottom>
      <diagonal/>
    </border>
    <border diagonalUp="false" diagonalDown="false">
      <left style="medium">
        <color rgb="FF6B1A1A"/>
      </left>
      <right style="medium">
        <color rgb="FF6B1A1A"/>
      </right>
      <top style="thin">
        <color rgb="FFDDDDDD"/>
      </top>
      <bottom style="medium">
        <color rgb="FF6B1A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D6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2E"/>
      <rgbColor rgb="FF000080"/>
      <rgbColor rgb="FF7D5800"/>
      <rgbColor rgb="FF800080"/>
      <rgbColor rgb="FF008080"/>
      <rgbColor rgb="FFCCCCCC"/>
      <rgbColor rgb="FF888888"/>
      <rgbColor rgb="FF9999FF"/>
      <rgbColor rgb="FF993366"/>
      <rgbColor rgb="FFFFF0C2"/>
      <rgbColor rgb="FFEEF2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6B1A1A"/>
      <rgbColor rgb="FF008080"/>
      <rgbColor rgb="FF0000FF"/>
      <rgbColor rgb="FF00CCFF"/>
      <rgbColor rgb="FFCCFFFF"/>
      <rgbColor rgb="FFD6F0DE"/>
      <rgbColor rgb="FFFFFF99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3A6186"/>
      <rgbColor rgb="FFAAAAAA"/>
      <rgbColor rgb="FF1A3A5C"/>
      <rgbColor rgb="FF339966"/>
      <rgbColor rgb="FF003300"/>
      <rgbColor rgb="FF333300"/>
      <rgbColor rgb="FFC65102"/>
      <rgbColor rgb="FF993366"/>
      <rgbColor rgb="FF555555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3" t="n">
        <v>45331</v>
      </c>
      <c r="F2" s="3" t="n">
        <v>45754</v>
      </c>
      <c r="G2" s="4" t="n">
        <v>277000</v>
      </c>
      <c r="H2" s="4" t="n">
        <v>267500</v>
      </c>
      <c r="I2" s="5" t="n">
        <v>68</v>
      </c>
      <c r="J2" s="6" t="s">
        <v>16</v>
      </c>
      <c r="K2" s="2" t="n">
        <v>4</v>
      </c>
      <c r="L2" s="2" t="n">
        <v>0</v>
      </c>
    </row>
    <row r="3" customFormat="false" ht="15" hidden="false" customHeight="false" outlineLevel="0" collapsed="false">
      <c r="A3" s="7" t="s">
        <v>17</v>
      </c>
      <c r="B3" s="7" t="s">
        <v>18</v>
      </c>
      <c r="C3" s="7" t="s">
        <v>19</v>
      </c>
      <c r="D3" s="7" t="s">
        <v>20</v>
      </c>
      <c r="E3" s="8" t="n">
        <v>45015</v>
      </c>
      <c r="F3" s="8" t="n">
        <v>45327</v>
      </c>
      <c r="G3" s="9" t="n">
        <v>1792000</v>
      </c>
      <c r="H3" s="9" t="n">
        <v>1603000</v>
      </c>
      <c r="I3" s="10" t="n">
        <v>72</v>
      </c>
      <c r="J3" s="6" t="s">
        <v>16</v>
      </c>
      <c r="K3" s="7" t="n">
        <v>0</v>
      </c>
      <c r="L3" s="7" t="n">
        <v>4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  <c r="E4" s="3" t="n">
        <v>44990</v>
      </c>
      <c r="F4" s="3" t="n">
        <v>45375</v>
      </c>
      <c r="G4" s="4" t="n">
        <v>2478000</v>
      </c>
      <c r="H4" s="4" t="n">
        <v>3448600</v>
      </c>
      <c r="I4" s="5" t="n">
        <v>12</v>
      </c>
      <c r="J4" s="11" t="s">
        <v>25</v>
      </c>
      <c r="K4" s="2" t="n">
        <v>14</v>
      </c>
      <c r="L4" s="2" t="n">
        <v>7</v>
      </c>
    </row>
    <row r="5" customFormat="false" ht="15" hidden="false" customHeight="false" outlineLevel="0" collapsed="false">
      <c r="A5" s="7" t="s">
        <v>26</v>
      </c>
      <c r="B5" s="7" t="s">
        <v>27</v>
      </c>
      <c r="C5" s="7" t="s">
        <v>28</v>
      </c>
      <c r="D5" s="7" t="s">
        <v>29</v>
      </c>
      <c r="E5" s="8" t="n">
        <v>45074</v>
      </c>
      <c r="F5" s="8" t="n">
        <v>45440</v>
      </c>
      <c r="G5" s="9" t="n">
        <v>562000</v>
      </c>
      <c r="H5" s="9" t="n">
        <v>700300</v>
      </c>
      <c r="I5" s="10" t="n">
        <v>53</v>
      </c>
      <c r="J5" s="11" t="s">
        <v>25</v>
      </c>
      <c r="K5" s="7" t="n">
        <v>8</v>
      </c>
      <c r="L5" s="7" t="n">
        <v>6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19</v>
      </c>
      <c r="D6" s="2" t="s">
        <v>32</v>
      </c>
      <c r="E6" s="3" t="n">
        <v>45026</v>
      </c>
      <c r="F6" s="3" t="n">
        <v>45396</v>
      </c>
      <c r="G6" s="4" t="n">
        <v>337000</v>
      </c>
      <c r="H6" s="4" t="n">
        <v>426900</v>
      </c>
      <c r="I6" s="5" t="n">
        <v>41</v>
      </c>
      <c r="J6" s="11" t="s">
        <v>25</v>
      </c>
      <c r="K6" s="2" t="n">
        <v>16</v>
      </c>
      <c r="L6" s="2" t="n">
        <v>13</v>
      </c>
    </row>
    <row r="7" customFormat="false" ht="15" hidden="false" customHeight="false" outlineLevel="0" collapsed="false">
      <c r="A7" s="7" t="s">
        <v>33</v>
      </c>
      <c r="B7" s="7" t="s">
        <v>34</v>
      </c>
      <c r="C7" s="7" t="s">
        <v>35</v>
      </c>
      <c r="D7" s="7" t="s">
        <v>32</v>
      </c>
      <c r="E7" s="8" t="n">
        <v>45403</v>
      </c>
      <c r="F7" s="8" t="n">
        <v>45792</v>
      </c>
      <c r="G7" s="9" t="n">
        <v>1936000</v>
      </c>
      <c r="H7" s="9" t="n">
        <v>2201100</v>
      </c>
      <c r="I7" s="10" t="n">
        <v>21</v>
      </c>
      <c r="J7" s="11" t="s">
        <v>25</v>
      </c>
      <c r="K7" s="7" t="n">
        <v>17</v>
      </c>
      <c r="L7" s="7" t="n">
        <v>8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23</v>
      </c>
      <c r="D8" s="2" t="s">
        <v>38</v>
      </c>
      <c r="E8" s="3" t="n">
        <v>45234</v>
      </c>
      <c r="F8" s="3" t="n">
        <v>45592</v>
      </c>
      <c r="G8" s="4" t="n">
        <v>2107000</v>
      </c>
      <c r="H8" s="4" t="n">
        <v>2416600</v>
      </c>
      <c r="I8" s="5" t="n">
        <v>38</v>
      </c>
      <c r="J8" s="12" t="s">
        <v>39</v>
      </c>
      <c r="K8" s="2" t="n">
        <v>12</v>
      </c>
      <c r="L8" s="2" t="n">
        <v>6</v>
      </c>
    </row>
    <row r="9" customFormat="false" ht="15" hidden="false" customHeight="false" outlineLevel="0" collapsed="false">
      <c r="A9" s="7" t="s">
        <v>40</v>
      </c>
      <c r="B9" s="7" t="s">
        <v>41</v>
      </c>
      <c r="C9" s="7" t="s">
        <v>23</v>
      </c>
      <c r="D9" s="7" t="s">
        <v>42</v>
      </c>
      <c r="E9" s="8" t="n">
        <v>45355</v>
      </c>
      <c r="F9" s="8" t="n">
        <v>45529</v>
      </c>
      <c r="G9" s="9" t="n">
        <v>1481000</v>
      </c>
      <c r="H9" s="9" t="n">
        <v>1419100</v>
      </c>
      <c r="I9" s="10" t="n">
        <v>47</v>
      </c>
      <c r="J9" s="6" t="s">
        <v>16</v>
      </c>
      <c r="K9" s="7" t="n">
        <v>5</v>
      </c>
      <c r="L9" s="7" t="n">
        <v>0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s">
        <v>14</v>
      </c>
      <c r="D10" s="2" t="s">
        <v>32</v>
      </c>
      <c r="E10" s="3" t="n">
        <v>45285</v>
      </c>
      <c r="F10" s="3" t="n">
        <v>45679</v>
      </c>
      <c r="G10" s="4" t="n">
        <v>2114000</v>
      </c>
      <c r="H10" s="4" t="n">
        <v>2557200</v>
      </c>
      <c r="I10" s="5" t="n">
        <v>15</v>
      </c>
      <c r="J10" s="11" t="s">
        <v>25</v>
      </c>
      <c r="K10" s="2" t="n">
        <v>10</v>
      </c>
      <c r="L10" s="2" t="n">
        <v>12</v>
      </c>
    </row>
    <row r="11" customFormat="false" ht="15" hidden="false" customHeight="false" outlineLevel="0" collapsed="false">
      <c r="A11" s="7" t="s">
        <v>45</v>
      </c>
      <c r="B11" s="7" t="s">
        <v>46</v>
      </c>
      <c r="C11" s="7" t="s">
        <v>23</v>
      </c>
      <c r="D11" s="7" t="s">
        <v>20</v>
      </c>
      <c r="E11" s="8" t="n">
        <v>45244</v>
      </c>
      <c r="F11" s="8" t="n">
        <v>45665</v>
      </c>
      <c r="G11" s="9" t="n">
        <v>2447000</v>
      </c>
      <c r="H11" s="9" t="n">
        <v>2867700</v>
      </c>
      <c r="I11" s="10" t="n">
        <v>38</v>
      </c>
      <c r="J11" s="12" t="s">
        <v>39</v>
      </c>
      <c r="K11" s="7" t="n">
        <v>9</v>
      </c>
      <c r="L11" s="7" t="n">
        <v>15</v>
      </c>
    </row>
    <row r="12" customFormat="false" ht="15" hidden="false" customHeight="false" outlineLevel="0" collapsed="false">
      <c r="A12" s="2" t="s">
        <v>47</v>
      </c>
      <c r="B12" s="2" t="s">
        <v>48</v>
      </c>
      <c r="C12" s="2" t="s">
        <v>14</v>
      </c>
      <c r="D12" s="2" t="s">
        <v>20</v>
      </c>
      <c r="E12" s="3" t="n">
        <v>45399</v>
      </c>
      <c r="F12" s="3" t="n">
        <v>45670</v>
      </c>
      <c r="G12" s="4" t="n">
        <v>768000</v>
      </c>
      <c r="H12" s="4" t="n">
        <v>939100</v>
      </c>
      <c r="I12" s="5" t="n">
        <v>23</v>
      </c>
      <c r="J12" s="11" t="s">
        <v>25</v>
      </c>
      <c r="K12" s="2" t="n">
        <v>18</v>
      </c>
      <c r="L12" s="2" t="n">
        <v>9</v>
      </c>
    </row>
    <row r="13" customFormat="false" ht="15" hidden="false" customHeight="false" outlineLevel="0" collapsed="false">
      <c r="A13" s="7" t="s">
        <v>49</v>
      </c>
      <c r="B13" s="7" t="s">
        <v>50</v>
      </c>
      <c r="C13" s="7" t="s">
        <v>51</v>
      </c>
      <c r="D13" s="7" t="s">
        <v>24</v>
      </c>
      <c r="E13" s="8" t="n">
        <v>45334</v>
      </c>
      <c r="F13" s="8" t="n">
        <v>45624</v>
      </c>
      <c r="G13" s="9" t="n">
        <v>2113000</v>
      </c>
      <c r="H13" s="9" t="n">
        <v>2011300</v>
      </c>
      <c r="I13" s="10" t="n">
        <v>80</v>
      </c>
      <c r="J13" s="6" t="s">
        <v>16</v>
      </c>
      <c r="K13" s="7" t="n">
        <v>2</v>
      </c>
      <c r="L13" s="7" t="n">
        <v>1</v>
      </c>
    </row>
    <row r="14" customFormat="false" ht="15" hidden="false" customHeight="false" outlineLevel="0" collapsed="false">
      <c r="A14" s="2" t="s">
        <v>52</v>
      </c>
      <c r="B14" s="2" t="s">
        <v>53</v>
      </c>
      <c r="C14" s="2" t="s">
        <v>35</v>
      </c>
      <c r="D14" s="2" t="s">
        <v>42</v>
      </c>
      <c r="E14" s="3" t="n">
        <v>45212</v>
      </c>
      <c r="F14" s="3" t="n">
        <v>45663</v>
      </c>
      <c r="G14" s="4" t="n">
        <v>1781000</v>
      </c>
      <c r="H14" s="4" t="n">
        <v>2020300</v>
      </c>
      <c r="I14" s="5" t="n">
        <v>44</v>
      </c>
      <c r="J14" s="12" t="s">
        <v>39</v>
      </c>
      <c r="K14" s="2" t="n">
        <v>6</v>
      </c>
      <c r="L14" s="2" t="n">
        <v>7</v>
      </c>
    </row>
    <row r="15" customFormat="false" ht="15" hidden="false" customHeight="false" outlineLevel="0" collapsed="false">
      <c r="A15" s="7" t="s">
        <v>54</v>
      </c>
      <c r="B15" s="7" t="s">
        <v>55</v>
      </c>
      <c r="C15" s="7" t="s">
        <v>23</v>
      </c>
      <c r="D15" s="7" t="s">
        <v>15</v>
      </c>
      <c r="E15" s="8" t="n">
        <v>45081</v>
      </c>
      <c r="F15" s="8" t="n">
        <v>45289</v>
      </c>
      <c r="G15" s="9" t="n">
        <v>1035000</v>
      </c>
      <c r="H15" s="9" t="n">
        <v>1048400</v>
      </c>
      <c r="I15" s="10" t="n">
        <v>56</v>
      </c>
      <c r="J15" s="6" t="s">
        <v>16</v>
      </c>
      <c r="K15" s="7" t="n">
        <v>2</v>
      </c>
      <c r="L15" s="7" t="n">
        <v>2</v>
      </c>
    </row>
    <row r="16" customFormat="false" ht="15" hidden="false" customHeight="false" outlineLevel="0" collapsed="false">
      <c r="A16" s="2" t="s">
        <v>56</v>
      </c>
      <c r="B16" s="2" t="s">
        <v>57</v>
      </c>
      <c r="C16" s="2" t="s">
        <v>58</v>
      </c>
      <c r="D16" s="2" t="s">
        <v>15</v>
      </c>
      <c r="E16" s="3" t="n">
        <v>45356</v>
      </c>
      <c r="F16" s="3" t="n">
        <v>45719</v>
      </c>
      <c r="G16" s="4" t="n">
        <v>1592000</v>
      </c>
      <c r="H16" s="4" t="n">
        <v>1849100</v>
      </c>
      <c r="I16" s="5" t="n">
        <v>18</v>
      </c>
      <c r="J16" s="11" t="s">
        <v>25</v>
      </c>
      <c r="K16" s="2" t="n">
        <v>17</v>
      </c>
      <c r="L16" s="2" t="n">
        <v>13</v>
      </c>
    </row>
    <row r="17" customFormat="false" ht="15" hidden="false" customHeight="false" outlineLevel="0" collapsed="false">
      <c r="A17" s="7" t="s">
        <v>59</v>
      </c>
      <c r="B17" s="7" t="s">
        <v>60</v>
      </c>
      <c r="C17" s="7" t="s">
        <v>58</v>
      </c>
      <c r="D17" s="7" t="s">
        <v>61</v>
      </c>
      <c r="E17" s="8" t="n">
        <v>45328</v>
      </c>
      <c r="F17" s="8" t="n">
        <v>45621</v>
      </c>
      <c r="G17" s="9" t="n">
        <v>1714000</v>
      </c>
      <c r="H17" s="9" t="n">
        <v>2088600</v>
      </c>
      <c r="I17" s="10" t="n">
        <v>35</v>
      </c>
      <c r="J17" s="11" t="s">
        <v>25</v>
      </c>
      <c r="K17" s="7" t="n">
        <v>6</v>
      </c>
      <c r="L17" s="7" t="n">
        <v>8</v>
      </c>
    </row>
    <row r="18" customFormat="false" ht="15" hidden="false" customHeight="false" outlineLevel="0" collapsed="false">
      <c r="A18" s="2" t="s">
        <v>62</v>
      </c>
      <c r="B18" s="2" t="s">
        <v>63</v>
      </c>
      <c r="C18" s="2" t="s">
        <v>23</v>
      </c>
      <c r="D18" s="2" t="s">
        <v>24</v>
      </c>
      <c r="E18" s="3" t="n">
        <v>45378</v>
      </c>
      <c r="F18" s="3" t="n">
        <v>45551</v>
      </c>
      <c r="G18" s="4" t="n">
        <v>530000</v>
      </c>
      <c r="H18" s="4" t="n">
        <v>566300</v>
      </c>
      <c r="I18" s="5" t="n">
        <v>10</v>
      </c>
      <c r="J18" s="11" t="s">
        <v>25</v>
      </c>
      <c r="K18" s="2" t="n">
        <v>15</v>
      </c>
      <c r="L18" s="2" t="n">
        <v>7</v>
      </c>
    </row>
    <row r="19" customFormat="false" ht="15" hidden="false" customHeight="false" outlineLevel="0" collapsed="false">
      <c r="A19" s="7" t="s">
        <v>64</v>
      </c>
      <c r="B19" s="7" t="s">
        <v>65</v>
      </c>
      <c r="C19" s="7" t="s">
        <v>23</v>
      </c>
      <c r="D19" s="7" t="s">
        <v>32</v>
      </c>
      <c r="E19" s="8" t="n">
        <v>44953</v>
      </c>
      <c r="F19" s="8" t="n">
        <v>45079</v>
      </c>
      <c r="G19" s="9" t="n">
        <v>931000</v>
      </c>
      <c r="H19" s="9" t="n">
        <v>1026000</v>
      </c>
      <c r="I19" s="10" t="n">
        <v>26</v>
      </c>
      <c r="J19" s="11" t="s">
        <v>25</v>
      </c>
      <c r="K19" s="7" t="n">
        <v>11</v>
      </c>
      <c r="L19" s="7" t="n">
        <v>14</v>
      </c>
    </row>
    <row r="20" customFormat="false" ht="15" hidden="false" customHeight="false" outlineLevel="0" collapsed="false">
      <c r="A20" s="2" t="s">
        <v>66</v>
      </c>
      <c r="B20" s="2" t="s">
        <v>67</v>
      </c>
      <c r="C20" s="2" t="s">
        <v>14</v>
      </c>
      <c r="D20" s="2" t="s">
        <v>61</v>
      </c>
      <c r="E20" s="3" t="n">
        <v>45052</v>
      </c>
      <c r="F20" s="3" t="n">
        <v>45201</v>
      </c>
      <c r="G20" s="4" t="n">
        <v>2079000</v>
      </c>
      <c r="H20" s="4" t="n">
        <v>2236600</v>
      </c>
      <c r="I20" s="5" t="n">
        <v>50</v>
      </c>
      <c r="J20" s="12" t="s">
        <v>39</v>
      </c>
      <c r="K20" s="2" t="n">
        <v>7</v>
      </c>
      <c r="L20" s="2" t="n">
        <v>6</v>
      </c>
    </row>
    <row r="21" customFormat="false" ht="15" hidden="false" customHeight="false" outlineLevel="0" collapsed="false">
      <c r="A21" s="7" t="s">
        <v>68</v>
      </c>
      <c r="B21" s="7" t="s">
        <v>69</v>
      </c>
      <c r="C21" s="7" t="s">
        <v>51</v>
      </c>
      <c r="D21" s="7" t="s">
        <v>70</v>
      </c>
      <c r="E21" s="8" t="n">
        <v>45277</v>
      </c>
      <c r="F21" s="8" t="n">
        <v>45746</v>
      </c>
      <c r="G21" s="9" t="n">
        <v>1164000</v>
      </c>
      <c r="H21" s="9" t="n">
        <v>1504100</v>
      </c>
      <c r="I21" s="10" t="n">
        <v>43</v>
      </c>
      <c r="J21" s="11" t="s">
        <v>25</v>
      </c>
      <c r="K21" s="7" t="n">
        <v>6</v>
      </c>
      <c r="L21" s="7" t="n">
        <v>8</v>
      </c>
    </row>
    <row r="22" customFormat="false" ht="15" hidden="false" customHeight="false" outlineLevel="0" collapsed="false">
      <c r="A22" s="2" t="s">
        <v>71</v>
      </c>
      <c r="B22" s="2" t="s">
        <v>72</v>
      </c>
      <c r="C22" s="2" t="s">
        <v>14</v>
      </c>
      <c r="D22" s="2" t="s">
        <v>15</v>
      </c>
      <c r="E22" s="3" t="n">
        <v>44954</v>
      </c>
      <c r="F22" s="3" t="n">
        <v>45432</v>
      </c>
      <c r="G22" s="4" t="n">
        <v>2243000</v>
      </c>
      <c r="H22" s="4" t="n">
        <v>2204600</v>
      </c>
      <c r="I22" s="5" t="n">
        <v>50</v>
      </c>
      <c r="J22" s="6" t="s">
        <v>16</v>
      </c>
      <c r="K22" s="2" t="n">
        <v>5</v>
      </c>
      <c r="L22" s="2" t="n">
        <v>2</v>
      </c>
    </row>
    <row r="23" customFormat="false" ht="15" hidden="false" customHeight="false" outlineLevel="0" collapsed="false">
      <c r="A23" s="7" t="s">
        <v>73</v>
      </c>
      <c r="B23" s="7" t="s">
        <v>74</v>
      </c>
      <c r="C23" s="7" t="s">
        <v>14</v>
      </c>
      <c r="D23" s="7" t="s">
        <v>15</v>
      </c>
      <c r="E23" s="8" t="n">
        <v>45291</v>
      </c>
      <c r="F23" s="8" t="n">
        <v>45776</v>
      </c>
      <c r="G23" s="9" t="n">
        <v>992000</v>
      </c>
      <c r="H23" s="9" t="n">
        <v>1312100</v>
      </c>
      <c r="I23" s="10" t="n">
        <v>31</v>
      </c>
      <c r="J23" s="11" t="s">
        <v>25</v>
      </c>
      <c r="K23" s="7" t="n">
        <v>16</v>
      </c>
      <c r="L23" s="7" t="n">
        <v>8</v>
      </c>
    </row>
    <row r="24" customFormat="false" ht="15" hidden="false" customHeight="false" outlineLevel="0" collapsed="false">
      <c r="A24" s="2" t="s">
        <v>75</v>
      </c>
      <c r="B24" s="2" t="s">
        <v>76</v>
      </c>
      <c r="C24" s="2" t="s">
        <v>19</v>
      </c>
      <c r="D24" s="2" t="s">
        <v>24</v>
      </c>
      <c r="E24" s="3" t="n">
        <v>45337</v>
      </c>
      <c r="F24" s="3" t="n">
        <v>45805</v>
      </c>
      <c r="G24" s="4" t="n">
        <v>1008000</v>
      </c>
      <c r="H24" s="4" t="n">
        <v>966500</v>
      </c>
      <c r="I24" s="5" t="n">
        <v>91</v>
      </c>
      <c r="J24" s="6" t="s">
        <v>16</v>
      </c>
      <c r="K24" s="2" t="n">
        <v>0</v>
      </c>
      <c r="L24" s="2" t="n">
        <v>0</v>
      </c>
    </row>
    <row r="25" customFormat="false" ht="15" hidden="false" customHeight="false" outlineLevel="0" collapsed="false">
      <c r="A25" s="7" t="s">
        <v>77</v>
      </c>
      <c r="B25" s="7" t="s">
        <v>78</v>
      </c>
      <c r="C25" s="7" t="s">
        <v>28</v>
      </c>
      <c r="D25" s="7" t="s">
        <v>61</v>
      </c>
      <c r="E25" s="8" t="n">
        <v>45192</v>
      </c>
      <c r="F25" s="8" t="n">
        <v>45381</v>
      </c>
      <c r="G25" s="9" t="n">
        <v>1490000</v>
      </c>
      <c r="H25" s="9" t="n">
        <v>2053200</v>
      </c>
      <c r="I25" s="10" t="n">
        <v>32</v>
      </c>
      <c r="J25" s="11" t="s">
        <v>25</v>
      </c>
      <c r="K25" s="7" t="n">
        <v>11</v>
      </c>
      <c r="L25" s="7" t="n">
        <v>6</v>
      </c>
    </row>
    <row r="26" customFormat="false" ht="15" hidden="false" customHeight="false" outlineLevel="0" collapsed="false">
      <c r="A26" s="2" t="s">
        <v>79</v>
      </c>
      <c r="B26" s="2" t="s">
        <v>80</v>
      </c>
      <c r="C26" s="2" t="s">
        <v>19</v>
      </c>
      <c r="D26" s="2" t="s">
        <v>70</v>
      </c>
      <c r="E26" s="3" t="n">
        <v>45159</v>
      </c>
      <c r="F26" s="3" t="n">
        <v>45489</v>
      </c>
      <c r="G26" s="4" t="n">
        <v>885000</v>
      </c>
      <c r="H26" s="4" t="n">
        <v>1078800</v>
      </c>
      <c r="I26" s="5" t="n">
        <v>49</v>
      </c>
      <c r="J26" s="11" t="s">
        <v>25</v>
      </c>
      <c r="K26" s="2" t="n">
        <v>19</v>
      </c>
      <c r="L26" s="2" t="n">
        <v>5</v>
      </c>
    </row>
    <row r="27" customFormat="false" ht="15" hidden="false" customHeight="false" outlineLevel="0" collapsed="false">
      <c r="A27" s="7" t="s">
        <v>81</v>
      </c>
      <c r="B27" s="7" t="s">
        <v>82</v>
      </c>
      <c r="C27" s="7" t="s">
        <v>83</v>
      </c>
      <c r="D27" s="7" t="s">
        <v>32</v>
      </c>
      <c r="E27" s="8" t="n">
        <v>45013</v>
      </c>
      <c r="F27" s="8" t="n">
        <v>45530</v>
      </c>
      <c r="G27" s="9" t="n">
        <v>571000</v>
      </c>
      <c r="H27" s="9" t="n">
        <v>663100</v>
      </c>
      <c r="I27" s="10" t="n">
        <v>68</v>
      </c>
      <c r="J27" s="12" t="s">
        <v>39</v>
      </c>
      <c r="K27" s="7" t="n">
        <v>6</v>
      </c>
      <c r="L27" s="7" t="n">
        <v>12</v>
      </c>
    </row>
    <row r="28" customFormat="false" ht="15" hidden="false" customHeight="false" outlineLevel="0" collapsed="false">
      <c r="A28" s="2" t="s">
        <v>84</v>
      </c>
      <c r="B28" s="2" t="s">
        <v>85</v>
      </c>
      <c r="C28" s="2" t="s">
        <v>51</v>
      </c>
      <c r="D28" s="2" t="s">
        <v>29</v>
      </c>
      <c r="E28" s="3" t="n">
        <v>45267</v>
      </c>
      <c r="F28" s="3" t="n">
        <v>45401</v>
      </c>
      <c r="G28" s="4" t="n">
        <v>1701000</v>
      </c>
      <c r="H28" s="4" t="n">
        <v>2228600</v>
      </c>
      <c r="I28" s="5" t="n">
        <v>15</v>
      </c>
      <c r="J28" s="11" t="s">
        <v>25</v>
      </c>
      <c r="K28" s="2" t="n">
        <v>17</v>
      </c>
      <c r="L28" s="2" t="n">
        <v>7</v>
      </c>
    </row>
    <row r="29" customFormat="false" ht="15" hidden="false" customHeight="false" outlineLevel="0" collapsed="false">
      <c r="A29" s="7" t="s">
        <v>86</v>
      </c>
      <c r="B29" s="7" t="s">
        <v>87</v>
      </c>
      <c r="C29" s="7" t="s">
        <v>51</v>
      </c>
      <c r="D29" s="7" t="s">
        <v>15</v>
      </c>
      <c r="E29" s="8" t="n">
        <v>44955</v>
      </c>
      <c r="F29" s="8" t="n">
        <v>45122</v>
      </c>
      <c r="G29" s="9" t="n">
        <v>2499000</v>
      </c>
      <c r="H29" s="9" t="n">
        <v>2918200</v>
      </c>
      <c r="I29" s="10" t="n">
        <v>29</v>
      </c>
      <c r="J29" s="12" t="s">
        <v>39</v>
      </c>
      <c r="K29" s="7" t="n">
        <v>12</v>
      </c>
      <c r="L29" s="7" t="n">
        <v>14</v>
      </c>
    </row>
    <row r="30" customFormat="false" ht="15" hidden="false" customHeight="false" outlineLevel="0" collapsed="false">
      <c r="A30" s="2" t="s">
        <v>88</v>
      </c>
      <c r="B30" s="2" t="s">
        <v>89</v>
      </c>
      <c r="C30" s="2" t="s">
        <v>83</v>
      </c>
      <c r="D30" s="2" t="s">
        <v>32</v>
      </c>
      <c r="E30" s="3" t="n">
        <v>45086</v>
      </c>
      <c r="F30" s="3" t="n">
        <v>45456</v>
      </c>
      <c r="G30" s="4" t="n">
        <v>2325000</v>
      </c>
      <c r="H30" s="4" t="n">
        <v>2051300</v>
      </c>
      <c r="I30" s="5" t="n">
        <v>91</v>
      </c>
      <c r="J30" s="6" t="s">
        <v>16</v>
      </c>
      <c r="K30" s="2" t="n">
        <v>5</v>
      </c>
      <c r="L30" s="2" t="n">
        <v>0</v>
      </c>
    </row>
    <row r="31" customFormat="false" ht="15" hidden="false" customHeight="false" outlineLevel="0" collapsed="false">
      <c r="A31" s="7" t="s">
        <v>90</v>
      </c>
      <c r="B31" s="7" t="s">
        <v>91</v>
      </c>
      <c r="C31" s="7" t="s">
        <v>51</v>
      </c>
      <c r="D31" s="7" t="s">
        <v>29</v>
      </c>
      <c r="E31" s="8" t="n">
        <v>45126</v>
      </c>
      <c r="F31" s="8" t="n">
        <v>45638</v>
      </c>
      <c r="G31" s="9" t="n">
        <v>944000</v>
      </c>
      <c r="H31" s="9" t="n">
        <v>862900</v>
      </c>
      <c r="I31" s="10" t="n">
        <v>77</v>
      </c>
      <c r="J31" s="6" t="s">
        <v>16</v>
      </c>
      <c r="K31" s="7" t="n">
        <v>1</v>
      </c>
      <c r="L31" s="7" t="n">
        <v>4</v>
      </c>
    </row>
    <row r="32" customFormat="false" ht="15" hidden="false" customHeight="false" outlineLevel="0" collapsed="false">
      <c r="A32" s="2" t="s">
        <v>92</v>
      </c>
      <c r="B32" s="2" t="s">
        <v>93</v>
      </c>
      <c r="C32" s="2" t="s">
        <v>14</v>
      </c>
      <c r="D32" s="2" t="s">
        <v>94</v>
      </c>
      <c r="E32" s="3" t="n">
        <v>45356</v>
      </c>
      <c r="F32" s="3" t="n">
        <v>45873</v>
      </c>
      <c r="G32" s="4" t="n">
        <v>616000</v>
      </c>
      <c r="H32" s="4" t="n">
        <v>615000</v>
      </c>
      <c r="I32" s="5" t="n">
        <v>74</v>
      </c>
      <c r="J32" s="6" t="s">
        <v>16</v>
      </c>
      <c r="K32" s="2" t="n">
        <v>5</v>
      </c>
      <c r="L32" s="2" t="n">
        <v>4</v>
      </c>
    </row>
    <row r="33" customFormat="false" ht="15" hidden="false" customHeight="false" outlineLevel="0" collapsed="false">
      <c r="A33" s="7" t="s">
        <v>95</v>
      </c>
      <c r="B33" s="7" t="s">
        <v>96</v>
      </c>
      <c r="C33" s="7" t="s">
        <v>35</v>
      </c>
      <c r="D33" s="7" t="s">
        <v>42</v>
      </c>
      <c r="E33" s="8" t="n">
        <v>45060</v>
      </c>
      <c r="F33" s="8" t="n">
        <v>45422</v>
      </c>
      <c r="G33" s="9" t="n">
        <v>701000</v>
      </c>
      <c r="H33" s="9" t="n">
        <v>740600</v>
      </c>
      <c r="I33" s="10" t="n">
        <v>38</v>
      </c>
      <c r="J33" s="11" t="s">
        <v>25</v>
      </c>
      <c r="K33" s="7" t="n">
        <v>18</v>
      </c>
      <c r="L33" s="7" t="n">
        <v>7</v>
      </c>
    </row>
    <row r="34" customFormat="false" ht="15" hidden="false" customHeight="false" outlineLevel="0" collapsed="false">
      <c r="A34" s="2" t="s">
        <v>97</v>
      </c>
      <c r="B34" s="2" t="s">
        <v>98</v>
      </c>
      <c r="C34" s="2" t="s">
        <v>58</v>
      </c>
      <c r="D34" s="2" t="s">
        <v>15</v>
      </c>
      <c r="E34" s="3" t="n">
        <v>45103</v>
      </c>
      <c r="F34" s="3" t="n">
        <v>45265</v>
      </c>
      <c r="G34" s="4" t="n">
        <v>2019000</v>
      </c>
      <c r="H34" s="4" t="n">
        <v>2205000</v>
      </c>
      <c r="I34" s="5" t="n">
        <v>13</v>
      </c>
      <c r="J34" s="11" t="s">
        <v>25</v>
      </c>
      <c r="K34" s="2" t="n">
        <v>11</v>
      </c>
      <c r="L34" s="2" t="n">
        <v>13</v>
      </c>
    </row>
    <row r="35" customFormat="false" ht="15" hidden="false" customHeight="false" outlineLevel="0" collapsed="false">
      <c r="A35" s="7" t="s">
        <v>99</v>
      </c>
      <c r="B35" s="7" t="s">
        <v>100</v>
      </c>
      <c r="C35" s="7" t="s">
        <v>83</v>
      </c>
      <c r="D35" s="7" t="s">
        <v>70</v>
      </c>
      <c r="E35" s="8" t="n">
        <v>44985</v>
      </c>
      <c r="F35" s="8" t="n">
        <v>45202</v>
      </c>
      <c r="G35" s="9" t="n">
        <v>863000</v>
      </c>
      <c r="H35" s="9" t="n">
        <v>866100</v>
      </c>
      <c r="I35" s="10" t="n">
        <v>77</v>
      </c>
      <c r="J35" s="6" t="s">
        <v>16</v>
      </c>
      <c r="K35" s="7" t="n">
        <v>3</v>
      </c>
      <c r="L35" s="7" t="n">
        <v>4</v>
      </c>
    </row>
    <row r="36" customFormat="false" ht="15" hidden="false" customHeight="false" outlineLevel="0" collapsed="false">
      <c r="A36" s="2" t="s">
        <v>101</v>
      </c>
      <c r="B36" s="2" t="s">
        <v>102</v>
      </c>
      <c r="C36" s="2" t="s">
        <v>58</v>
      </c>
      <c r="D36" s="2" t="s">
        <v>70</v>
      </c>
      <c r="E36" s="3" t="n">
        <v>45380</v>
      </c>
      <c r="F36" s="3" t="n">
        <v>45636</v>
      </c>
      <c r="G36" s="4" t="n">
        <v>2150000</v>
      </c>
      <c r="H36" s="4" t="n">
        <v>2407600</v>
      </c>
      <c r="I36" s="5" t="n">
        <v>27</v>
      </c>
      <c r="J36" s="11" t="s">
        <v>25</v>
      </c>
      <c r="K36" s="2" t="n">
        <v>13</v>
      </c>
      <c r="L36" s="2" t="n">
        <v>13</v>
      </c>
    </row>
    <row r="37" customFormat="false" ht="15" hidden="false" customHeight="false" outlineLevel="0" collapsed="false">
      <c r="A37" s="7" t="s">
        <v>103</v>
      </c>
      <c r="B37" s="7" t="s">
        <v>104</v>
      </c>
      <c r="C37" s="7" t="s">
        <v>83</v>
      </c>
      <c r="D37" s="7" t="s">
        <v>42</v>
      </c>
      <c r="E37" s="8" t="n">
        <v>45180</v>
      </c>
      <c r="F37" s="8" t="n">
        <v>45627</v>
      </c>
      <c r="G37" s="9" t="n">
        <v>2223000</v>
      </c>
      <c r="H37" s="9" t="n">
        <v>2677400</v>
      </c>
      <c r="I37" s="10" t="n">
        <v>36</v>
      </c>
      <c r="J37" s="12" t="s">
        <v>39</v>
      </c>
      <c r="K37" s="7" t="n">
        <v>11</v>
      </c>
      <c r="L37" s="7" t="n">
        <v>8</v>
      </c>
    </row>
    <row r="38" customFormat="false" ht="15" hidden="false" customHeight="false" outlineLevel="0" collapsed="false">
      <c r="A38" s="2" t="s">
        <v>105</v>
      </c>
      <c r="B38" s="2" t="s">
        <v>106</v>
      </c>
      <c r="C38" s="2" t="s">
        <v>83</v>
      </c>
      <c r="D38" s="2" t="s">
        <v>15</v>
      </c>
      <c r="E38" s="3" t="n">
        <v>45353</v>
      </c>
      <c r="F38" s="3" t="n">
        <v>45505</v>
      </c>
      <c r="G38" s="4" t="n">
        <v>1687000</v>
      </c>
      <c r="H38" s="4" t="n">
        <v>1814200</v>
      </c>
      <c r="I38" s="5" t="n">
        <v>25</v>
      </c>
      <c r="J38" s="11" t="s">
        <v>25</v>
      </c>
      <c r="K38" s="2" t="n">
        <v>12</v>
      </c>
      <c r="L38" s="2" t="n">
        <v>6</v>
      </c>
    </row>
    <row r="39" customFormat="false" ht="15" hidden="false" customHeight="false" outlineLevel="0" collapsed="false">
      <c r="A39" s="7" t="s">
        <v>107</v>
      </c>
      <c r="B39" s="7" t="s">
        <v>108</v>
      </c>
      <c r="C39" s="7" t="s">
        <v>19</v>
      </c>
      <c r="D39" s="7" t="s">
        <v>94</v>
      </c>
      <c r="E39" s="8" t="n">
        <v>45052</v>
      </c>
      <c r="F39" s="8" t="n">
        <v>45539</v>
      </c>
      <c r="G39" s="9" t="n">
        <v>712000</v>
      </c>
      <c r="H39" s="9" t="n">
        <v>800100</v>
      </c>
      <c r="I39" s="10" t="n">
        <v>43</v>
      </c>
      <c r="J39" s="12" t="s">
        <v>39</v>
      </c>
      <c r="K39" s="7" t="n">
        <v>5</v>
      </c>
      <c r="L39" s="7" t="n">
        <v>9</v>
      </c>
    </row>
    <row r="40" customFormat="false" ht="15" hidden="false" customHeight="false" outlineLevel="0" collapsed="false">
      <c r="A40" s="2" t="s">
        <v>109</v>
      </c>
      <c r="B40" s="2" t="s">
        <v>110</v>
      </c>
      <c r="C40" s="2" t="s">
        <v>51</v>
      </c>
      <c r="D40" s="2" t="s">
        <v>61</v>
      </c>
      <c r="E40" s="3" t="n">
        <v>45151</v>
      </c>
      <c r="F40" s="3" t="n">
        <v>45623</v>
      </c>
      <c r="G40" s="4" t="n">
        <v>465000</v>
      </c>
      <c r="H40" s="4" t="n">
        <v>567600</v>
      </c>
      <c r="I40" s="5" t="n">
        <v>52</v>
      </c>
      <c r="J40" s="11" t="s">
        <v>25</v>
      </c>
      <c r="K40" s="2" t="n">
        <v>19</v>
      </c>
      <c r="L40" s="2" t="n">
        <v>8</v>
      </c>
    </row>
    <row r="41" customFormat="false" ht="15" hidden="false" customHeight="false" outlineLevel="0" collapsed="false">
      <c r="A41" s="7" t="s">
        <v>111</v>
      </c>
      <c r="B41" s="7" t="s">
        <v>112</v>
      </c>
      <c r="C41" s="7" t="s">
        <v>51</v>
      </c>
      <c r="D41" s="7" t="s">
        <v>29</v>
      </c>
      <c r="E41" s="8" t="n">
        <v>45340</v>
      </c>
      <c r="F41" s="8" t="n">
        <v>45603</v>
      </c>
      <c r="G41" s="9" t="n">
        <v>1805000</v>
      </c>
      <c r="H41" s="9" t="n">
        <v>1680400</v>
      </c>
      <c r="I41" s="10" t="n">
        <v>91</v>
      </c>
      <c r="J41" s="6" t="s">
        <v>16</v>
      </c>
      <c r="K41" s="7" t="n">
        <v>2</v>
      </c>
      <c r="L41" s="7" t="n">
        <v>0</v>
      </c>
    </row>
    <row r="42" customFormat="false" ht="15" hidden="false" customHeight="false" outlineLevel="0" collapsed="false">
      <c r="A42" s="2" t="s">
        <v>113</v>
      </c>
      <c r="B42" s="2" t="s">
        <v>114</v>
      </c>
      <c r="C42" s="2" t="s">
        <v>14</v>
      </c>
      <c r="D42" s="2" t="s">
        <v>42</v>
      </c>
      <c r="E42" s="3" t="n">
        <v>45396</v>
      </c>
      <c r="F42" s="3" t="n">
        <v>45711</v>
      </c>
      <c r="G42" s="4" t="n">
        <v>154000</v>
      </c>
      <c r="H42" s="4" t="n">
        <v>189600</v>
      </c>
      <c r="I42" s="5" t="n">
        <v>28</v>
      </c>
      <c r="J42" s="11" t="s">
        <v>25</v>
      </c>
      <c r="K42" s="2" t="n">
        <v>14</v>
      </c>
      <c r="L42" s="2" t="n">
        <v>6</v>
      </c>
    </row>
    <row r="43" customFormat="false" ht="15" hidden="false" customHeight="false" outlineLevel="0" collapsed="false">
      <c r="A43" s="7" t="s">
        <v>115</v>
      </c>
      <c r="B43" s="7" t="s">
        <v>116</v>
      </c>
      <c r="C43" s="7" t="s">
        <v>23</v>
      </c>
      <c r="D43" s="7" t="s">
        <v>24</v>
      </c>
      <c r="E43" s="8" t="n">
        <v>45034</v>
      </c>
      <c r="F43" s="8" t="n">
        <v>45167</v>
      </c>
      <c r="G43" s="9" t="n">
        <v>1167000</v>
      </c>
      <c r="H43" s="9" t="n">
        <v>1196100</v>
      </c>
      <c r="I43" s="10" t="n">
        <v>56</v>
      </c>
      <c r="J43" s="6" t="s">
        <v>16</v>
      </c>
      <c r="K43" s="7" t="n">
        <v>2</v>
      </c>
      <c r="L43" s="7" t="n">
        <v>1</v>
      </c>
    </row>
    <row r="44" customFormat="false" ht="15" hidden="false" customHeight="false" outlineLevel="0" collapsed="false">
      <c r="A44" s="2" t="s">
        <v>117</v>
      </c>
      <c r="B44" s="2" t="s">
        <v>118</v>
      </c>
      <c r="C44" s="2" t="s">
        <v>35</v>
      </c>
      <c r="D44" s="2" t="s">
        <v>94</v>
      </c>
      <c r="E44" s="3" t="n">
        <v>45342</v>
      </c>
      <c r="F44" s="3" t="n">
        <v>45508</v>
      </c>
      <c r="G44" s="4" t="n">
        <v>2277000</v>
      </c>
      <c r="H44" s="4" t="n">
        <v>2513900</v>
      </c>
      <c r="I44" s="5" t="n">
        <v>64</v>
      </c>
      <c r="J44" s="12" t="s">
        <v>39</v>
      </c>
      <c r="K44" s="2" t="n">
        <v>8</v>
      </c>
      <c r="L44" s="2" t="n">
        <v>6</v>
      </c>
    </row>
    <row r="45" customFormat="false" ht="15" hidden="false" customHeight="false" outlineLevel="0" collapsed="false">
      <c r="A45" s="7" t="s">
        <v>119</v>
      </c>
      <c r="B45" s="7" t="s">
        <v>120</v>
      </c>
      <c r="C45" s="7" t="s">
        <v>28</v>
      </c>
      <c r="D45" s="7" t="s">
        <v>20</v>
      </c>
      <c r="E45" s="8" t="n">
        <v>45114</v>
      </c>
      <c r="F45" s="8" t="n">
        <v>45421</v>
      </c>
      <c r="G45" s="9" t="n">
        <v>376000</v>
      </c>
      <c r="H45" s="9" t="n">
        <v>331900</v>
      </c>
      <c r="I45" s="10" t="n">
        <v>50</v>
      </c>
      <c r="J45" s="6" t="s">
        <v>16</v>
      </c>
      <c r="K45" s="7" t="n">
        <v>2</v>
      </c>
      <c r="L45" s="7" t="n">
        <v>0</v>
      </c>
    </row>
    <row r="46" customFormat="false" ht="15" hidden="false" customHeight="false" outlineLevel="0" collapsed="false">
      <c r="A46" s="2" t="s">
        <v>121</v>
      </c>
      <c r="B46" s="2" t="s">
        <v>122</v>
      </c>
      <c r="C46" s="2" t="s">
        <v>19</v>
      </c>
      <c r="D46" s="2" t="s">
        <v>70</v>
      </c>
      <c r="E46" s="3" t="n">
        <v>45197</v>
      </c>
      <c r="F46" s="3" t="n">
        <v>45728</v>
      </c>
      <c r="G46" s="4" t="n">
        <v>578000</v>
      </c>
      <c r="H46" s="4" t="n">
        <v>675500</v>
      </c>
      <c r="I46" s="5" t="n">
        <v>45</v>
      </c>
      <c r="J46" s="11" t="s">
        <v>25</v>
      </c>
      <c r="K46" s="2" t="n">
        <v>12</v>
      </c>
      <c r="L46" s="2" t="n">
        <v>9</v>
      </c>
    </row>
    <row r="47" customFormat="false" ht="15" hidden="false" customHeight="false" outlineLevel="0" collapsed="false">
      <c r="A47" s="7" t="s">
        <v>123</v>
      </c>
      <c r="B47" s="7" t="s">
        <v>124</v>
      </c>
      <c r="C47" s="7" t="s">
        <v>51</v>
      </c>
      <c r="D47" s="7" t="s">
        <v>20</v>
      </c>
      <c r="E47" s="8" t="n">
        <v>45171</v>
      </c>
      <c r="F47" s="8" t="n">
        <v>45317</v>
      </c>
      <c r="G47" s="9" t="n">
        <v>741000</v>
      </c>
      <c r="H47" s="9" t="n">
        <v>673600</v>
      </c>
      <c r="I47" s="10" t="n">
        <v>64</v>
      </c>
      <c r="J47" s="6" t="s">
        <v>16</v>
      </c>
      <c r="K47" s="7" t="n">
        <v>5</v>
      </c>
      <c r="L47" s="7" t="n">
        <v>2</v>
      </c>
    </row>
    <row r="48" customFormat="false" ht="15" hidden="false" customHeight="false" outlineLevel="0" collapsed="false">
      <c r="A48" s="2" t="s">
        <v>125</v>
      </c>
      <c r="B48" s="2" t="s">
        <v>126</v>
      </c>
      <c r="C48" s="2" t="s">
        <v>19</v>
      </c>
      <c r="D48" s="2" t="s">
        <v>94</v>
      </c>
      <c r="E48" s="3" t="n">
        <v>45383</v>
      </c>
      <c r="F48" s="3" t="n">
        <v>45729</v>
      </c>
      <c r="G48" s="4" t="n">
        <v>808000</v>
      </c>
      <c r="H48" s="4" t="n">
        <v>814900</v>
      </c>
      <c r="I48" s="5" t="n">
        <v>61</v>
      </c>
      <c r="J48" s="6" t="s">
        <v>16</v>
      </c>
      <c r="K48" s="2" t="n">
        <v>0</v>
      </c>
      <c r="L48" s="2" t="n">
        <v>0</v>
      </c>
    </row>
    <row r="49" customFormat="false" ht="15" hidden="false" customHeight="false" outlineLevel="0" collapsed="false">
      <c r="A49" s="7" t="s">
        <v>127</v>
      </c>
      <c r="B49" s="7" t="s">
        <v>128</v>
      </c>
      <c r="C49" s="7" t="s">
        <v>58</v>
      </c>
      <c r="D49" s="7" t="s">
        <v>42</v>
      </c>
      <c r="E49" s="8" t="n">
        <v>45121</v>
      </c>
      <c r="F49" s="8" t="n">
        <v>45474</v>
      </c>
      <c r="G49" s="9" t="n">
        <v>2024000</v>
      </c>
      <c r="H49" s="9" t="n">
        <v>1925900</v>
      </c>
      <c r="I49" s="10" t="n">
        <v>87</v>
      </c>
      <c r="J49" s="6" t="s">
        <v>16</v>
      </c>
      <c r="K49" s="7" t="n">
        <v>5</v>
      </c>
      <c r="L49" s="7" t="n">
        <v>3</v>
      </c>
    </row>
    <row r="50" customFormat="false" ht="15" hidden="false" customHeight="false" outlineLevel="0" collapsed="false">
      <c r="A50" s="2" t="s">
        <v>129</v>
      </c>
      <c r="B50" s="2" t="s">
        <v>130</v>
      </c>
      <c r="C50" s="2" t="s">
        <v>83</v>
      </c>
      <c r="D50" s="2" t="s">
        <v>42</v>
      </c>
      <c r="E50" s="3" t="n">
        <v>45329</v>
      </c>
      <c r="F50" s="3" t="n">
        <v>45678</v>
      </c>
      <c r="G50" s="4" t="n">
        <v>1340000</v>
      </c>
      <c r="H50" s="4" t="n">
        <v>1867800</v>
      </c>
      <c r="I50" s="5" t="n">
        <v>31</v>
      </c>
      <c r="J50" s="11" t="s">
        <v>25</v>
      </c>
      <c r="K50" s="2" t="n">
        <v>9</v>
      </c>
      <c r="L50" s="2" t="n">
        <v>7</v>
      </c>
    </row>
    <row r="51" customFormat="false" ht="18" hidden="false" customHeight="true" outlineLevel="0" collapsed="false">
      <c r="A51" s="7" t="s">
        <v>131</v>
      </c>
      <c r="B51" s="7" t="s">
        <v>132</v>
      </c>
      <c r="C51" s="7" t="s">
        <v>35</v>
      </c>
      <c r="D51" s="7" t="s">
        <v>32</v>
      </c>
      <c r="E51" s="8" t="n">
        <v>44982</v>
      </c>
      <c r="F51" s="8" t="n">
        <v>45500</v>
      </c>
      <c r="G51" s="9" t="n">
        <v>611000</v>
      </c>
      <c r="H51" s="9" t="n">
        <v>598800</v>
      </c>
      <c r="I51" s="10" t="n">
        <v>61</v>
      </c>
      <c r="J51" s="6" t="s">
        <v>16</v>
      </c>
      <c r="K51" s="7" t="n">
        <v>3</v>
      </c>
      <c r="L51" s="7" t="n">
        <v>1</v>
      </c>
    </row>
  </sheetData>
  <conditionalFormatting sqref="H2:H51">
    <cfRule type="cellIs" priority="2" operator="greaterThan" aboveAverage="0" equalAverage="0" bottom="0" percent="0" rank="0" text="" dxfId="0">
      <formula>G2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6"/>
  </cols>
  <sheetData>
    <row r="2" customFormat="false" ht="36" hidden="false" customHeight="true" outlineLevel="0" collapsed="false">
      <c r="B2" s="13" t="s">
        <v>133</v>
      </c>
      <c r="C2" s="13"/>
      <c r="D2" s="13"/>
      <c r="E2" s="13"/>
      <c r="F2" s="13"/>
      <c r="G2" s="13"/>
      <c r="H2" s="13"/>
      <c r="I2" s="13"/>
      <c r="J2" s="13"/>
      <c r="K2" s="13"/>
    </row>
    <row r="3" customFormat="false" ht="21.75" hidden="false" customHeight="true" outlineLevel="0" collapsed="false">
      <c r="B3" s="14" t="s">
        <v>134</v>
      </c>
      <c r="C3" s="14"/>
      <c r="D3" s="14"/>
      <c r="E3" s="14"/>
      <c r="F3" s="14"/>
      <c r="G3" s="14"/>
      <c r="H3" s="14"/>
      <c r="I3" s="14"/>
      <c r="J3" s="14"/>
      <c r="K3" s="14"/>
    </row>
    <row r="5" customFormat="false" ht="15" hidden="false" customHeight="false" outlineLevel="0" collapsed="false">
      <c r="B5" s="15" t="s">
        <v>135</v>
      </c>
      <c r="C5" s="15"/>
      <c r="E5" s="16" t="s">
        <v>136</v>
      </c>
      <c r="F5" s="16"/>
      <c r="H5" s="17" t="s">
        <v>137</v>
      </c>
      <c r="I5" s="17"/>
    </row>
    <row r="6" customFormat="false" ht="37.5" hidden="false" customHeight="true" outlineLevel="0" collapsed="false">
      <c r="B6" s="18" t="n">
        <f aca="false">COUNTA(dataset!A2:A51)</f>
        <v>50</v>
      </c>
      <c r="C6" s="18"/>
      <c r="E6" s="19" t="n">
        <f aca="false">COUNTIF(dataset!J2:J51,"On Track")</f>
        <v>18</v>
      </c>
      <c r="F6" s="19"/>
      <c r="H6" s="20" t="n">
        <f aca="false">COUNTIF(dataset!J2:J51,"Delayed")</f>
        <v>23</v>
      </c>
      <c r="I6" s="20"/>
    </row>
    <row r="9" customFormat="false" ht="15" hidden="false" customHeight="false" outlineLevel="0" collapsed="false">
      <c r="B9" s="21" t="s">
        <v>138</v>
      </c>
      <c r="C9" s="21"/>
      <c r="E9" s="22" t="s">
        <v>139</v>
      </c>
      <c r="F9" s="22"/>
      <c r="H9" s="22" t="s">
        <v>140</v>
      </c>
      <c r="I9" s="22"/>
    </row>
    <row r="10" customFormat="false" ht="37.5" hidden="false" customHeight="true" outlineLevel="0" collapsed="false">
      <c r="B10" s="23" t="n">
        <f aca="false">COUNTIF(dataset!J2:J51,"At Risk")</f>
        <v>9</v>
      </c>
      <c r="C10" s="23"/>
      <c r="E10" s="24" t="n">
        <f aca="false">SUM(dataset!G2:G51)</f>
        <v>67213000</v>
      </c>
      <c r="F10" s="24"/>
      <c r="H10" s="24" t="n">
        <f aca="false">SUM(dataset!H2:H51)</f>
        <v>74699100</v>
      </c>
      <c r="I10" s="24"/>
    </row>
    <row r="13" customFormat="false" ht="15" hidden="false" customHeight="false" outlineLevel="0" collapsed="false">
      <c r="B13" s="25" t="s">
        <v>141</v>
      </c>
      <c r="C13" s="25"/>
      <c r="E13" s="26" t="s">
        <v>142</v>
      </c>
      <c r="F13" s="26"/>
      <c r="H13" s="27" t="s">
        <v>143</v>
      </c>
      <c r="I13" s="27"/>
    </row>
    <row r="14" customFormat="false" ht="37.5" hidden="false" customHeight="true" outlineLevel="0" collapsed="false">
      <c r="B14" s="28" t="n">
        <f aca="false">AVERAGE(dataset!I2:I51)</f>
        <v>46.92</v>
      </c>
      <c r="C14" s="28"/>
      <c r="E14" s="29" t="n">
        <f aca="false">SUM(dataset!K2:K51)</f>
        <v>436</v>
      </c>
      <c r="F14" s="29"/>
      <c r="H14" s="30" t="n">
        <f aca="false">SUM(dataset!L2:L51)</f>
        <v>311</v>
      </c>
      <c r="I14" s="30"/>
    </row>
    <row r="17" customFormat="false" ht="15" hidden="false" customHeight="false" outlineLevel="0" collapsed="false">
      <c r="B17" s="31" t="s">
        <v>144</v>
      </c>
    </row>
    <row r="18" customFormat="false" ht="15" hidden="false" customHeight="false" outlineLevel="0" collapsed="false">
      <c r="B18" s="32" t="s">
        <v>2</v>
      </c>
      <c r="C18" s="32" t="s">
        <v>145</v>
      </c>
      <c r="D18" s="32" t="s">
        <v>16</v>
      </c>
      <c r="E18" s="32" t="s">
        <v>25</v>
      </c>
      <c r="F18" s="32" t="s">
        <v>39</v>
      </c>
      <c r="G18" s="32" t="s">
        <v>146</v>
      </c>
      <c r="H18" s="32" t="s">
        <v>147</v>
      </c>
      <c r="I18" s="32" t="s">
        <v>148</v>
      </c>
    </row>
    <row r="19" customFormat="false" ht="15" hidden="false" customHeight="false" outlineLevel="0" collapsed="false">
      <c r="B19" s="33" t="s">
        <v>58</v>
      </c>
      <c r="C19" s="34" t="n">
        <f aca="false">COUNTIF(dataset!C$2:C$51,B19)</f>
        <v>5</v>
      </c>
      <c r="D19" s="35" t="n">
        <f aca="false">COUNTIFS(dataset!C$2:C$51,B19,dataset!J$2:J$51,"On Track")</f>
        <v>1</v>
      </c>
      <c r="E19" s="35" t="n">
        <f aca="false">COUNTIFS(dataset!C$2:C$51,B19,dataset!J$2:J$51,"Delayed")</f>
        <v>4</v>
      </c>
      <c r="F19" s="35" t="n">
        <f aca="false">COUNTIFS(dataset!C$2:C$51,B19,dataset!J$2:J$51,"At Risk")</f>
        <v>0</v>
      </c>
      <c r="G19" s="36" t="n">
        <f aca="false">AVERAGEIF(dataset!C$2:C$51,B19,dataset!I$2:I$51)</f>
        <v>36</v>
      </c>
      <c r="H19" s="35" t="n">
        <f aca="false">SUMIF(dataset!C$2:C$51,B19,dataset!K$2:K$51)</f>
        <v>52</v>
      </c>
      <c r="I19" s="35" t="n">
        <f aca="false">SUMIF(dataset!C$2:C$51,B19,dataset!L$2:L$51)</f>
        <v>50</v>
      </c>
    </row>
    <row r="20" customFormat="false" ht="15" hidden="false" customHeight="false" outlineLevel="0" collapsed="false">
      <c r="B20" s="33" t="s">
        <v>23</v>
      </c>
      <c r="C20" s="37" t="n">
        <f aca="false">COUNTIF(dataset!C$2:C$51,B20)</f>
        <v>8</v>
      </c>
      <c r="D20" s="38" t="n">
        <f aca="false">COUNTIFS(dataset!C$2:C$51,B20,dataset!J$2:J$51,"On Track")</f>
        <v>3</v>
      </c>
      <c r="E20" s="38" t="n">
        <f aca="false">COUNTIFS(dataset!C$2:C$51,B20,dataset!J$2:J$51,"Delayed")</f>
        <v>3</v>
      </c>
      <c r="F20" s="38" t="n">
        <f aca="false">COUNTIFS(dataset!C$2:C$51,B20,dataset!J$2:J$51,"At Risk")</f>
        <v>2</v>
      </c>
      <c r="G20" s="39" t="n">
        <f aca="false">AVERAGEIF(dataset!C$2:C$51,B20,dataset!I$2:I$51)</f>
        <v>35.375</v>
      </c>
      <c r="H20" s="38" t="n">
        <f aca="false">SUMIF(dataset!C$2:C$51,B20,dataset!K$2:K$51)</f>
        <v>70</v>
      </c>
      <c r="I20" s="38" t="n">
        <f aca="false">SUMIF(dataset!C$2:C$51,B20,dataset!L$2:L$51)</f>
        <v>52</v>
      </c>
    </row>
    <row r="21" customFormat="false" ht="15" hidden="false" customHeight="false" outlineLevel="0" collapsed="false">
      <c r="B21" s="33" t="s">
        <v>51</v>
      </c>
      <c r="C21" s="34" t="n">
        <f aca="false">COUNTIF(dataset!C$2:C$51,B21)</f>
        <v>8</v>
      </c>
      <c r="D21" s="35" t="n">
        <f aca="false">COUNTIFS(dataset!C$2:C$51,B21,dataset!J$2:J$51,"On Track")</f>
        <v>4</v>
      </c>
      <c r="E21" s="35" t="n">
        <f aca="false">COUNTIFS(dataset!C$2:C$51,B21,dataset!J$2:J$51,"Delayed")</f>
        <v>3</v>
      </c>
      <c r="F21" s="35" t="n">
        <f aca="false">COUNTIFS(dataset!C$2:C$51,B21,dataset!J$2:J$51,"At Risk")</f>
        <v>1</v>
      </c>
      <c r="G21" s="36" t="n">
        <f aca="false">AVERAGEIF(dataset!C$2:C$51,B21,dataset!I$2:I$51)</f>
        <v>56.375</v>
      </c>
      <c r="H21" s="35" t="n">
        <f aca="false">SUMIF(dataset!C$2:C$51,B21,dataset!K$2:K$51)</f>
        <v>64</v>
      </c>
      <c r="I21" s="35" t="n">
        <f aca="false">SUMIF(dataset!C$2:C$51,B21,dataset!L$2:L$51)</f>
        <v>44</v>
      </c>
    </row>
    <row r="22" customFormat="false" ht="15" hidden="false" customHeight="false" outlineLevel="0" collapsed="false">
      <c r="B22" s="33" t="s">
        <v>19</v>
      </c>
      <c r="C22" s="37" t="n">
        <f aca="false">COUNTIF(dataset!C$2:C$51,B22)</f>
        <v>7</v>
      </c>
      <c r="D22" s="38" t="n">
        <f aca="false">COUNTIFS(dataset!C$2:C$51,B22,dataset!J$2:J$51,"On Track")</f>
        <v>3</v>
      </c>
      <c r="E22" s="38" t="n">
        <f aca="false">COUNTIFS(dataset!C$2:C$51,B22,dataset!J$2:J$51,"Delayed")</f>
        <v>3</v>
      </c>
      <c r="F22" s="38" t="n">
        <f aca="false">COUNTIFS(dataset!C$2:C$51,B22,dataset!J$2:J$51,"At Risk")</f>
        <v>1</v>
      </c>
      <c r="G22" s="39" t="n">
        <f aca="false">AVERAGEIF(dataset!C$2:C$51,B22,dataset!I$2:I$51)</f>
        <v>57.4285714285714</v>
      </c>
      <c r="H22" s="38" t="n">
        <f aca="false">SUMIF(dataset!C$2:C$51,B22,dataset!K$2:K$51)</f>
        <v>52</v>
      </c>
      <c r="I22" s="38" t="n">
        <f aca="false">SUMIF(dataset!C$2:C$51,B22,dataset!L$2:L$51)</f>
        <v>40</v>
      </c>
    </row>
    <row r="23" customFormat="false" ht="15" hidden="false" customHeight="false" outlineLevel="0" collapsed="false">
      <c r="B23" s="33" t="s">
        <v>28</v>
      </c>
      <c r="C23" s="34" t="n">
        <f aca="false">COUNTIF(dataset!C$2:C$51,B23)</f>
        <v>3</v>
      </c>
      <c r="D23" s="35" t="n">
        <f aca="false">COUNTIFS(dataset!C$2:C$51,B23,dataset!J$2:J$51,"On Track")</f>
        <v>1</v>
      </c>
      <c r="E23" s="35" t="n">
        <f aca="false">COUNTIFS(dataset!C$2:C$51,B23,dataset!J$2:J$51,"Delayed")</f>
        <v>2</v>
      </c>
      <c r="F23" s="35" t="n">
        <f aca="false">COUNTIFS(dataset!C$2:C$51,B23,dataset!J$2:J$51,"At Risk")</f>
        <v>0</v>
      </c>
      <c r="G23" s="36" t="n">
        <f aca="false">AVERAGEIF(dataset!C$2:C$51,B23,dataset!I$2:I$51)</f>
        <v>45</v>
      </c>
      <c r="H23" s="35" t="n">
        <f aca="false">SUMIF(dataset!C$2:C$51,B23,dataset!K$2:K$51)</f>
        <v>21</v>
      </c>
      <c r="I23" s="35" t="n">
        <f aca="false">SUMIF(dataset!C$2:C$51,B23,dataset!L$2:L$51)</f>
        <v>12</v>
      </c>
    </row>
    <row r="24" customFormat="false" ht="15" hidden="false" customHeight="false" outlineLevel="0" collapsed="false">
      <c r="B24" s="33" t="s">
        <v>14</v>
      </c>
      <c r="C24" s="37" t="n">
        <f aca="false">COUNTIF(dataset!C$2:C$51,B24)</f>
        <v>8</v>
      </c>
      <c r="D24" s="38" t="n">
        <f aca="false">COUNTIFS(dataset!C$2:C$51,B24,dataset!J$2:J$51,"On Track")</f>
        <v>3</v>
      </c>
      <c r="E24" s="38" t="n">
        <f aca="false">COUNTIFS(dataset!C$2:C$51,B24,dataset!J$2:J$51,"Delayed")</f>
        <v>4</v>
      </c>
      <c r="F24" s="38" t="n">
        <f aca="false">COUNTIFS(dataset!C$2:C$51,B24,dataset!J$2:J$51,"At Risk")</f>
        <v>1</v>
      </c>
      <c r="G24" s="39" t="n">
        <f aca="false">AVERAGEIF(dataset!C$2:C$51,B24,dataset!I$2:I$51)</f>
        <v>42.375</v>
      </c>
      <c r="H24" s="38" t="n">
        <f aca="false">SUMIF(dataset!C$2:C$51,B24,dataset!K$2:K$51)</f>
        <v>79</v>
      </c>
      <c r="I24" s="38" t="n">
        <f aca="false">SUMIF(dataset!C$2:C$51,B24,dataset!L$2:L$51)</f>
        <v>47</v>
      </c>
    </row>
    <row r="25" customFormat="false" ht="15" hidden="false" customHeight="false" outlineLevel="0" collapsed="false">
      <c r="B25" s="33" t="s">
        <v>35</v>
      </c>
      <c r="C25" s="34" t="n">
        <f aca="false">COUNTIF(dataset!C$2:C$51,B25)</f>
        <v>5</v>
      </c>
      <c r="D25" s="35" t="n">
        <f aca="false">COUNTIFS(dataset!C$2:C$51,B25,dataset!J$2:J$51,"On Track")</f>
        <v>1</v>
      </c>
      <c r="E25" s="35" t="n">
        <f aca="false">COUNTIFS(dataset!C$2:C$51,B25,dataset!J$2:J$51,"Delayed")</f>
        <v>2</v>
      </c>
      <c r="F25" s="35" t="n">
        <f aca="false">COUNTIFS(dataset!C$2:C$51,B25,dataset!J$2:J$51,"At Risk")</f>
        <v>2</v>
      </c>
      <c r="G25" s="36" t="n">
        <f aca="false">AVERAGEIF(dataset!C$2:C$51,B25,dataset!I$2:I$51)</f>
        <v>45.6</v>
      </c>
      <c r="H25" s="35" t="n">
        <f aca="false">SUMIF(dataset!C$2:C$51,B25,dataset!K$2:K$51)</f>
        <v>52</v>
      </c>
      <c r="I25" s="35" t="n">
        <f aca="false">SUMIF(dataset!C$2:C$51,B25,dataset!L$2:L$51)</f>
        <v>29</v>
      </c>
    </row>
    <row r="26" customFormat="false" ht="15" hidden="false" customHeight="false" outlineLevel="0" collapsed="false">
      <c r="B26" s="33" t="s">
        <v>83</v>
      </c>
      <c r="C26" s="37" t="n">
        <f aca="false">COUNTIF(dataset!C$2:C$51,B26)</f>
        <v>6</v>
      </c>
      <c r="D26" s="38" t="n">
        <f aca="false">COUNTIFS(dataset!C$2:C$51,B26,dataset!J$2:J$51,"On Track")</f>
        <v>2</v>
      </c>
      <c r="E26" s="38" t="n">
        <f aca="false">COUNTIFS(dataset!C$2:C$51,B26,dataset!J$2:J$51,"Delayed")</f>
        <v>2</v>
      </c>
      <c r="F26" s="38" t="n">
        <f aca="false">COUNTIFS(dataset!C$2:C$51,B26,dataset!J$2:J$51,"At Risk")</f>
        <v>2</v>
      </c>
      <c r="G26" s="39" t="n">
        <f aca="false">AVERAGEIF(dataset!C$2:C$51,B26,dataset!I$2:I$51)</f>
        <v>54.6666666666667</v>
      </c>
      <c r="H26" s="38" t="n">
        <f aca="false">SUMIF(dataset!C$2:C$51,B26,dataset!K$2:K$51)</f>
        <v>46</v>
      </c>
      <c r="I26" s="38" t="n">
        <f aca="false">SUMIF(dataset!C$2:C$51,B26,dataset!L$2:L$51)</f>
        <v>37</v>
      </c>
    </row>
    <row r="29" customFormat="false" ht="15" hidden="false" customHeight="false" outlineLevel="0" collapsed="false">
      <c r="B29" s="40" t="s">
        <v>149</v>
      </c>
    </row>
  </sheetData>
  <mergeCells count="20">
    <mergeCell ref="B2:K2"/>
    <mergeCell ref="B3:K3"/>
    <mergeCell ref="B5:C5"/>
    <mergeCell ref="E5:F5"/>
    <mergeCell ref="H5:I5"/>
    <mergeCell ref="B6:C6"/>
    <mergeCell ref="E6:F6"/>
    <mergeCell ref="H6:I6"/>
    <mergeCell ref="B9:C9"/>
    <mergeCell ref="E9:F9"/>
    <mergeCell ref="H9:I9"/>
    <mergeCell ref="B10:C10"/>
    <mergeCell ref="E10:F10"/>
    <mergeCell ref="H10:I10"/>
    <mergeCell ref="B13:C13"/>
    <mergeCell ref="E13:F13"/>
    <mergeCell ref="H13:I13"/>
    <mergeCell ref="B14:C14"/>
    <mergeCell ref="E14:F14"/>
    <mergeCell ref="H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2026-03-08T14:47:51Z</dcterms:created>
  <dc:creator>openpyxl</dc:creator>
  <dc:description/>
  <dc:language>en-US</dc:language>
  <cp:lastModifiedBy/>
  <dcterms:modified xsi:type="dcterms:W3CDTF">2026-03-08T14:47:51Z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